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00414ad120ecfd/Documentos/"/>
    </mc:Choice>
  </mc:AlternateContent>
  <xr:revisionPtr revIDLastSave="1" documentId="8_{D40BAE82-8D26-4595-BE2D-3198745F1FA4}" xr6:coauthVersionLast="47" xr6:coauthVersionMax="47" xr10:uidLastSave="{7781A0FA-0041-48BF-B2D2-ECE4EB63B6C4}"/>
  <bookViews>
    <workbookView xWindow="-120" yWindow="-120" windowWidth="29040" windowHeight="15720" xr2:uid="{A5D1E335-F1BE-4B64-9D3D-4D06C508FDF7}"/>
  </bookViews>
  <sheets>
    <sheet name="Proyec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5" i="1" l="1"/>
  <c r="F23" i="1"/>
  <c r="B33" i="1"/>
  <c r="C19" i="1"/>
  <c r="F26" i="1"/>
  <c r="F25" i="1"/>
  <c r="F24" i="1"/>
  <c r="F27" i="1"/>
  <c r="F28" i="1" l="1"/>
  <c r="B40" i="1" s="1"/>
  <c r="B41" i="1" s="1"/>
  <c r="B52" i="1" s="1"/>
  <c r="B53" i="1" s="1"/>
  <c r="B54" i="1" s="1"/>
  <c r="C56" i="1" l="1"/>
</calcChain>
</file>

<file path=xl/sharedStrings.xml><?xml version="1.0" encoding="utf-8"?>
<sst xmlns="http://schemas.openxmlformats.org/spreadsheetml/2006/main" count="56" uniqueCount="52">
  <si>
    <t>Proyecto medio</t>
  </si>
  <si>
    <t>a</t>
  </si>
  <si>
    <t>b</t>
  </si>
  <si>
    <t>c</t>
  </si>
  <si>
    <t>d</t>
  </si>
  <si>
    <t>Factores de costo</t>
  </si>
  <si>
    <t>Fiabilidad</t>
  </si>
  <si>
    <t>Complejidad</t>
  </si>
  <si>
    <t>Restricciones tiempo de ejecución</t>
  </si>
  <si>
    <t>Restricciones memoria virtual</t>
  </si>
  <si>
    <t>Volatilidad maquina virtual</t>
  </si>
  <si>
    <t>Tiempo de respues</t>
  </si>
  <si>
    <t>Capacidad de analisis</t>
  </si>
  <si>
    <t>Experiencia en la aplicación</t>
  </si>
  <si>
    <t>Calidad de los programadores</t>
  </si>
  <si>
    <t>Experiencia en la maquina virtual</t>
  </si>
  <si>
    <t>Experiencia en el lenguaje</t>
  </si>
  <si>
    <t>Tecnicas actualizadas de programacion</t>
  </si>
  <si>
    <t>Utilizacion de herramientas de software</t>
  </si>
  <si>
    <t>Restricciones de tiempo</t>
  </si>
  <si>
    <t>Factores funcionales de peso</t>
  </si>
  <si>
    <t># entrada usuario</t>
  </si>
  <si>
    <t># salida usuario</t>
  </si>
  <si>
    <t># consultas usuario</t>
  </si>
  <si>
    <t># archivos lógicos internos (tablas)</t>
  </si>
  <si>
    <t># interfaces externas</t>
  </si>
  <si>
    <t>Simple</t>
  </si>
  <si>
    <t>Media</t>
  </si>
  <si>
    <t>Compleja</t>
  </si>
  <si>
    <t>Contador</t>
  </si>
  <si>
    <t>Total multi</t>
  </si>
  <si>
    <t>Suma Factores de peso</t>
  </si>
  <si>
    <t>Suma factores de costo</t>
  </si>
  <si>
    <t>PF</t>
  </si>
  <si>
    <t>Lenguaje</t>
  </si>
  <si>
    <t>LOC=PF* Correlación</t>
  </si>
  <si>
    <t>Correlación</t>
  </si>
  <si>
    <t>LOC</t>
  </si>
  <si>
    <t>(Lineas de código)</t>
  </si>
  <si>
    <t>KLOC /1000</t>
  </si>
  <si>
    <t>(Kilo o miles línea de código)</t>
  </si>
  <si>
    <t>Esfuerzo</t>
  </si>
  <si>
    <t>persona/mes</t>
  </si>
  <si>
    <t>Duración</t>
  </si>
  <si>
    <t>meses</t>
  </si>
  <si>
    <t>Personal</t>
  </si>
  <si>
    <t>Costo</t>
  </si>
  <si>
    <t>personas</t>
  </si>
  <si>
    <t>xmes</t>
  </si>
  <si>
    <t>Tamaño bd</t>
  </si>
  <si>
    <t>PYTHON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</si>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</sst>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2" x14ac:knownFonts="1">
    <font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5" borderId="0" xfId="0" applyNumberForma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104775</xdr:rowOff>
    </xdr:from>
    <xdr:to>
      <xdr:col>3</xdr:col>
      <xdr:colOff>719249</xdr:colOff>
      <xdr:row>31</xdr:row>
      <xdr:rowOff>79144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5A48FEE-4E27-4564-AAF0-A65C0654D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29275"/>
          <a:ext cx="4599496" cy="35536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42</xdr:row>
      <xdr:rowOff>47625</xdr:rowOff>
    </xdr:from>
    <xdr:to>
      <xdr:col>1</xdr:col>
      <xdr:colOff>409386</xdr:colOff>
      <xdr:row>49</xdr:row>
      <xdr:rowOff>18887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C5B8E8-A54E-46BB-BB97-D57A8597D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8048625"/>
          <a:ext cx="1514286" cy="1304762"/>
        </a:xfrm>
        <a:prstGeom prst="rect">
          <a:avLst/>
        </a:prstGeom>
      </xdr:spPr>
    </xdr:pic>
    <xdr:clientData/>
  </xdr:twoCellAnchor>
  <xdr:twoCellAnchor editAs="oneCell">
    <xdr:from>
      <xdr:col>5</xdr:col>
      <xdr:colOff>160733</xdr:colOff>
      <xdr:row>0</xdr:row>
      <xdr:rowOff>1</xdr:rowOff>
    </xdr:from>
    <xdr:to>
      <xdr:col>7</xdr:col>
      <xdr:colOff>315515</xdr:colOff>
      <xdr:row>2</xdr:row>
      <xdr:rowOff>140461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3AE1452-4059-4451-AC27-13EF0CDDA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32921" y="1"/>
          <a:ext cx="1678782" cy="521460"/>
        </a:xfrm>
        <a:prstGeom prst="rect">
          <a:avLst/>
        </a:prstGeom>
      </xdr:spPr>
    </xdr:pic>
    <xdr:clientData/>
  </xdr:twoCellAnchor>
  <xdr:twoCellAnchor editAs="oneCell">
    <xdr:from>
      <xdr:col>5</xdr:col>
      <xdr:colOff>131577</xdr:colOff>
      <xdr:row>3</xdr:row>
      <xdr:rowOff>11906</xdr:rowOff>
    </xdr:from>
    <xdr:to>
      <xdr:col>9</xdr:col>
      <xdr:colOff>653022</xdr:colOff>
      <xdr:row>17</xdr:row>
      <xdr:rowOff>35719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874084E-A4A9-4930-B0C7-7DC7D6265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03765" y="583406"/>
          <a:ext cx="3569445" cy="2690813"/>
        </a:xfrm>
        <a:prstGeom prst="rect">
          <a:avLst/>
        </a:prstGeom>
      </xdr:spPr>
    </xdr:pic>
    <xdr:clientData/>
  </xdr:twoCellAnchor>
  <xdr:twoCellAnchor editAs="oneCell">
    <xdr:from>
      <xdr:col>6</xdr:col>
      <xdr:colOff>130970</xdr:colOff>
      <xdr:row>20</xdr:row>
      <xdr:rowOff>186076</xdr:rowOff>
    </xdr:from>
    <xdr:to>
      <xdr:col>9</xdr:col>
      <xdr:colOff>756048</xdr:colOff>
      <xdr:row>25</xdr:row>
      <xdr:rowOff>105022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7B7E4BC-128F-49B5-AB7B-DE44F43A9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65158" y="3996076"/>
          <a:ext cx="2911078" cy="8714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93249</xdr:rowOff>
    </xdr:from>
    <xdr:to>
      <xdr:col>1</xdr:col>
      <xdr:colOff>369093</xdr:colOff>
      <xdr:row>39</xdr:row>
      <xdr:rowOff>4496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F807FE1-C958-43E0-A022-E435C494D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7141749"/>
          <a:ext cx="1494234" cy="292247"/>
        </a:xfrm>
        <a:prstGeom prst="rect">
          <a:avLst/>
        </a:prstGeom>
      </xdr:spPr>
    </xdr:pic>
    <xdr:clientData/>
  </xdr:twoCellAnchor>
  <xdr:twoCellAnchor editAs="oneCell">
    <xdr:from>
      <xdr:col>4</xdr:col>
      <xdr:colOff>129705</xdr:colOff>
      <xdr:row>28</xdr:row>
      <xdr:rowOff>160734</xdr:rowOff>
    </xdr:from>
    <xdr:to>
      <xdr:col>4</xdr:col>
      <xdr:colOff>1331923</xdr:colOff>
      <xdr:row>40</xdr:row>
      <xdr:rowOff>70736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38462C9-F73A-48F7-A1F2-0C8416C4D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773143" y="5494734"/>
          <a:ext cx="1202218" cy="21960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C7FAA-73F5-4247-BD60-8A584AC63C2D}">
  <dimension ref="A1:F56"/>
  <sheetViews>
    <sheetView tabSelected="1" topLeftCell="A34" zoomScale="120" zoomScaleNormal="120" workbookViewId="0">
      <selection activeCell="G32" sqref="G32"/>
    </sheetView>
  </sheetViews>
  <sheetFormatPr baseColWidth="10" defaultRowHeight="15" x14ac:dyDescent="0.25"/>
  <cols>
    <col min="1" max="1" width="16.85546875" customWidth="1"/>
    <col min="2" max="2" width="17.5703125" customWidth="1"/>
    <col min="3" max="3" width="23.7109375" customWidth="1"/>
    <col min="5" max="5" width="21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s="1">
        <v>2.4</v>
      </c>
      <c r="C2" s="1">
        <v>1.05</v>
      </c>
      <c r="D2" s="1">
        <v>2.5</v>
      </c>
      <c r="E2" s="1">
        <v>0.38</v>
      </c>
    </row>
    <row r="4" spans="1:5" x14ac:dyDescent="0.25">
      <c r="A4" t="s">
        <v>5</v>
      </c>
      <c r="B4" s="6" t="s">
        <v>6</v>
      </c>
      <c r="C4" s="2">
        <v>1</v>
      </c>
    </row>
    <row r="5" spans="1:5" x14ac:dyDescent="0.25">
      <c r="B5" s="6" t="s">
        <v>49</v>
      </c>
      <c r="C5" s="2">
        <v>0.94</v>
      </c>
    </row>
    <row r="6" spans="1:5" x14ac:dyDescent="0.25">
      <c r="B6" s="6" t="s">
        <v>7</v>
      </c>
      <c r="C6" s="2">
        <v>0.7</v>
      </c>
    </row>
    <row r="7" spans="1:5" x14ac:dyDescent="0.25">
      <c r="B7" s="6" t="s">
        <v>8</v>
      </c>
      <c r="C7" s="2">
        <v>1</v>
      </c>
    </row>
    <row r="8" spans="1:5" x14ac:dyDescent="0.25">
      <c r="B8" s="6" t="s">
        <v>9</v>
      </c>
      <c r="C8" s="2">
        <v>0.87</v>
      </c>
    </row>
    <row r="9" spans="1:5" x14ac:dyDescent="0.25">
      <c r="B9" s="6" t="s">
        <v>10</v>
      </c>
      <c r="C9" s="2">
        <v>0.87</v>
      </c>
    </row>
    <row r="10" spans="1:5" x14ac:dyDescent="0.25">
      <c r="B10" s="6" t="s">
        <v>11</v>
      </c>
      <c r="C10" s="2">
        <v>1</v>
      </c>
    </row>
    <row r="11" spans="1:5" x14ac:dyDescent="0.25">
      <c r="B11" s="6" t="s">
        <v>12</v>
      </c>
      <c r="C11" s="2">
        <v>0.86</v>
      </c>
    </row>
    <row r="12" spans="1:5" x14ac:dyDescent="0.25">
      <c r="B12" s="6" t="s">
        <v>13</v>
      </c>
      <c r="C12" s="2">
        <v>1</v>
      </c>
    </row>
    <row r="13" spans="1:5" x14ac:dyDescent="0.25">
      <c r="B13" s="6" t="s">
        <v>14</v>
      </c>
      <c r="C13" s="2">
        <v>1</v>
      </c>
    </row>
    <row r="14" spans="1:5" x14ac:dyDescent="0.25">
      <c r="B14" s="6" t="s">
        <v>15</v>
      </c>
      <c r="C14" s="2">
        <v>1.1000000000000001</v>
      </c>
    </row>
    <row r="15" spans="1:5" x14ac:dyDescent="0.25">
      <c r="B15" s="6" t="s">
        <v>16</v>
      </c>
      <c r="C15" s="2">
        <v>1.07</v>
      </c>
    </row>
    <row r="16" spans="1:5" x14ac:dyDescent="0.25">
      <c r="B16" s="6" t="s">
        <v>17</v>
      </c>
      <c r="C16" s="2">
        <v>1</v>
      </c>
    </row>
    <row r="17" spans="1:6" x14ac:dyDescent="0.25">
      <c r="B17" s="6" t="s">
        <v>18</v>
      </c>
      <c r="C17" s="2">
        <v>1</v>
      </c>
    </row>
    <row r="18" spans="1:6" x14ac:dyDescent="0.25">
      <c r="B18" s="6" t="s">
        <v>19</v>
      </c>
      <c r="C18" s="2">
        <v>1</v>
      </c>
    </row>
    <row r="19" spans="1:6" x14ac:dyDescent="0.25">
      <c r="A19" t="s">
        <v>32</v>
      </c>
      <c r="C19" s="4">
        <f>SUM(C4:C18)</f>
        <v>14.41</v>
      </c>
    </row>
    <row r="22" spans="1:6" x14ac:dyDescent="0.25">
      <c r="A22" t="s">
        <v>20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</row>
    <row r="23" spans="1:6" x14ac:dyDescent="0.25">
      <c r="A23" t="s">
        <v>21</v>
      </c>
      <c r="B23">
        <v>7</v>
      </c>
      <c r="C23" s="1">
        <v>10</v>
      </c>
      <c r="D23">
        <v>15</v>
      </c>
      <c r="E23" s="2">
        <v>39</v>
      </c>
      <c r="F23">
        <f>B23*E23</f>
        <v>273</v>
      </c>
    </row>
    <row r="24" spans="1:6" x14ac:dyDescent="0.25">
      <c r="A24" t="s">
        <v>22</v>
      </c>
      <c r="B24">
        <v>5</v>
      </c>
      <c r="C24" s="1">
        <v>7</v>
      </c>
      <c r="D24">
        <v>10</v>
      </c>
      <c r="E24" s="2">
        <v>32</v>
      </c>
      <c r="F24">
        <f>B24*E24</f>
        <v>160</v>
      </c>
    </row>
    <row r="25" spans="1:6" x14ac:dyDescent="0.25">
      <c r="A25" t="s">
        <v>23</v>
      </c>
      <c r="B25">
        <v>3</v>
      </c>
      <c r="C25" s="1">
        <v>4</v>
      </c>
      <c r="D25">
        <v>6</v>
      </c>
      <c r="E25" s="2">
        <v>27</v>
      </c>
      <c r="F25">
        <f>B25*E25</f>
        <v>81</v>
      </c>
    </row>
    <row r="26" spans="1:6" x14ac:dyDescent="0.25">
      <c r="A26" t="s">
        <v>24</v>
      </c>
      <c r="B26">
        <v>4</v>
      </c>
      <c r="C26" s="1">
        <v>5</v>
      </c>
      <c r="D26">
        <v>7</v>
      </c>
      <c r="E26" s="2">
        <v>19</v>
      </c>
      <c r="F26">
        <f t="shared" ref="F26:F27" si="0">B26*E26</f>
        <v>76</v>
      </c>
    </row>
    <row r="27" spans="1:6" x14ac:dyDescent="0.25">
      <c r="A27" t="s">
        <v>25</v>
      </c>
      <c r="B27">
        <v>3</v>
      </c>
      <c r="C27" s="1">
        <v>4</v>
      </c>
      <c r="D27">
        <v>6</v>
      </c>
      <c r="E27" s="2">
        <v>2</v>
      </c>
      <c r="F27">
        <f t="shared" si="0"/>
        <v>6</v>
      </c>
    </row>
    <row r="28" spans="1:6" x14ac:dyDescent="0.25">
      <c r="E28" t="s">
        <v>31</v>
      </c>
      <c r="F28" s="4">
        <f>SUM(F23:F27)</f>
        <v>596</v>
      </c>
    </row>
    <row r="30" spans="1:6" x14ac:dyDescent="0.25">
      <c r="F30" t="s">
        <v>51</v>
      </c>
    </row>
    <row r="33" spans="1:3" x14ac:dyDescent="0.25">
      <c r="A33" t="s">
        <v>33</v>
      </c>
      <c r="B33" s="4">
        <f>(F28*(0.65+(0.01*C19)))</f>
        <v>473.28360000000004</v>
      </c>
    </row>
    <row r="35" spans="1:3" x14ac:dyDescent="0.25">
      <c r="A35" t="s">
        <v>34</v>
      </c>
      <c r="B35" t="s">
        <v>36</v>
      </c>
    </row>
    <row r="36" spans="1:3" x14ac:dyDescent="0.25">
      <c r="A36" t="s">
        <v>50</v>
      </c>
      <c r="B36" s="2">
        <v>53</v>
      </c>
    </row>
    <row r="39" spans="1:3" x14ac:dyDescent="0.25">
      <c r="A39" t="s">
        <v>35</v>
      </c>
    </row>
    <row r="40" spans="1:3" x14ac:dyDescent="0.25">
      <c r="A40" t="s">
        <v>37</v>
      </c>
      <c r="B40" s="4">
        <f>B33*B36</f>
        <v>25084.0308</v>
      </c>
      <c r="C40" t="s">
        <v>38</v>
      </c>
    </row>
    <row r="41" spans="1:3" x14ac:dyDescent="0.25">
      <c r="A41" t="s">
        <v>39</v>
      </c>
      <c r="B41" s="4">
        <f>B40/1000</f>
        <v>25.084030800000001</v>
      </c>
      <c r="C41" t="s">
        <v>40</v>
      </c>
    </row>
    <row r="45" spans="1:3" x14ac:dyDescent="0.25">
      <c r="C45" t="s">
        <v>41</v>
      </c>
    </row>
    <row r="46" spans="1:3" x14ac:dyDescent="0.25">
      <c r="C46" t="s">
        <v>43</v>
      </c>
    </row>
    <row r="47" spans="1:3" x14ac:dyDescent="0.25">
      <c r="C47" t="s">
        <v>45</v>
      </c>
    </row>
    <row r="48" spans="1:3" x14ac:dyDescent="0.25">
      <c r="C48" t="s">
        <v>46</v>
      </c>
    </row>
    <row r="52" spans="1:3" x14ac:dyDescent="0.25">
      <c r="A52" s="3" t="s">
        <v>41</v>
      </c>
      <c r="B52" s="4">
        <f>B2*POWER(B41,C2)</f>
        <v>70.725891971526707</v>
      </c>
      <c r="C52" t="s">
        <v>42</v>
      </c>
    </row>
    <row r="53" spans="1:3" x14ac:dyDescent="0.25">
      <c r="A53" s="3" t="s">
        <v>43</v>
      </c>
      <c r="B53" s="4">
        <f>D2*POWER(B52,E2)</f>
        <v>12.611879520498071</v>
      </c>
      <c r="C53" t="s">
        <v>44</v>
      </c>
    </row>
    <row r="54" spans="1:3" x14ac:dyDescent="0.25">
      <c r="A54" s="3" t="s">
        <v>45</v>
      </c>
      <c r="B54" s="4">
        <f>B52/B53</f>
        <v>5.6078788143017073</v>
      </c>
      <c r="C54" t="s">
        <v>47</v>
      </c>
    </row>
    <row r="55" spans="1:3" x14ac:dyDescent="0.25">
      <c r="A55" s="3" t="s">
        <v>46</v>
      </c>
      <c r="B55" s="5">
        <f>B54*2000000</f>
        <v>11215757.628603414</v>
      </c>
      <c r="C55" t="s">
        <v>48</v>
      </c>
    </row>
    <row r="56" spans="1:3" x14ac:dyDescent="0.25">
      <c r="C56" s="5">
        <f>B55*B53</f>
        <v>141451783.94305339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GINA RAMIREZ MORENO</cp:lastModifiedBy>
  <cp:lastPrinted>2026-10-06T15:45:34Z</cp:lastPrinted>
  <dcterms:created xsi:type="dcterms:W3CDTF">2024-02-09T21:52:18Z</dcterms:created>
  <dcterms:modified xsi:type="dcterms:W3CDTF">2026-10-13T12:41:07Z</dcterms:modified>
</cp:coreProperties>
</file>